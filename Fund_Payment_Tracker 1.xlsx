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b463a59165e0ebc/Desktop/Excel Automation Project Personal Use/"/>
    </mc:Choice>
  </mc:AlternateContent>
  <xr:revisionPtr revIDLastSave="18" documentId="8_{35487348-C06F-4D7B-ABD3-676139F39A72}" xr6:coauthVersionLast="47" xr6:coauthVersionMax="47" xr10:uidLastSave="{A41E1F52-7D45-481B-87EA-DBF841138C53}"/>
  <bookViews>
    <workbookView xWindow="-120" yWindow="-120" windowWidth="20730" windowHeight="11160" tabRatio="500" xr2:uid="{00000000-000D-0000-FFFF-FFFF00000000}"/>
  </bookViews>
  <sheets>
    <sheet name="Dashboard" sheetId="1" r:id="rId1"/>
    <sheet name="Payments" sheetId="2" r:id="rId2"/>
    <sheet name="Spendings" sheetId="3" r:id="rId3"/>
    <sheet name="How To Use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1" l="1"/>
  <c r="C5" i="1"/>
  <c r="E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E20" i="2"/>
  <c r="E19" i="2"/>
  <c r="E18" i="2"/>
  <c r="E17" i="2"/>
  <c r="E16" i="2"/>
  <c r="E15" i="2"/>
  <c r="E14" i="2"/>
  <c r="E18" i="1" s="1"/>
  <c r="H18" i="1" s="1"/>
  <c r="E13" i="2"/>
  <c r="E17" i="1" s="1"/>
  <c r="H17" i="1" s="1"/>
  <c r="E12" i="2"/>
  <c r="E16" i="1" s="1"/>
  <c r="H16" i="1" s="1"/>
  <c r="E11" i="2"/>
  <c r="E15" i="1" s="1"/>
  <c r="H15" i="1" s="1"/>
  <c r="E10" i="2"/>
  <c r="E14" i="1" s="1"/>
  <c r="H14" i="1" s="1"/>
  <c r="E13" i="1"/>
  <c r="E12" i="1"/>
  <c r="E7" i="2"/>
  <c r="E11" i="1" s="1"/>
  <c r="E6" i="2"/>
  <c r="E10" i="1" s="1"/>
  <c r="B28" i="1"/>
  <c r="B27" i="1"/>
  <c r="B26" i="1"/>
  <c r="B25" i="1"/>
  <c r="B24" i="1"/>
  <c r="F19" i="1"/>
  <c r="E19" i="1"/>
  <c r="H19" i="1" s="1"/>
  <c r="D19" i="1"/>
  <c r="C19" i="1"/>
  <c r="B19" i="1"/>
  <c r="A19" i="1"/>
  <c r="F18" i="1"/>
  <c r="D18" i="1"/>
  <c r="C18" i="1"/>
  <c r="B18" i="1"/>
  <c r="A18" i="1"/>
  <c r="F17" i="1"/>
  <c r="D17" i="1"/>
  <c r="C17" i="1"/>
  <c r="B17" i="1"/>
  <c r="A17" i="1"/>
  <c r="F16" i="1"/>
  <c r="D16" i="1"/>
  <c r="C16" i="1"/>
  <c r="B16" i="1"/>
  <c r="A16" i="1"/>
  <c r="F15" i="1"/>
  <c r="D15" i="1"/>
  <c r="C15" i="1"/>
  <c r="B15" i="1"/>
  <c r="A15" i="1"/>
  <c r="F14" i="1"/>
  <c r="D14" i="1"/>
  <c r="C14" i="1"/>
  <c r="B14" i="1"/>
  <c r="A14" i="1"/>
  <c r="F13" i="1"/>
  <c r="D13" i="1"/>
  <c r="C13" i="1"/>
  <c r="B13" i="1"/>
  <c r="A13" i="1"/>
  <c r="F12" i="1"/>
  <c r="D12" i="1"/>
  <c r="C12" i="1"/>
  <c r="B12" i="1"/>
  <c r="A12" i="1"/>
  <c r="F11" i="1"/>
  <c r="D11" i="1"/>
  <c r="C11" i="1"/>
  <c r="B11" i="1"/>
  <c r="A11" i="1"/>
  <c r="F10" i="1"/>
  <c r="D10" i="1"/>
  <c r="C10" i="1"/>
  <c r="B10" i="1"/>
  <c r="A10" i="1"/>
  <c r="B5" i="1" l="1"/>
  <c r="D5" i="1" s="1"/>
  <c r="E21" i="2"/>
  <c r="B23" i="1"/>
  <c r="B29" i="1" s="1"/>
  <c r="F5" i="1"/>
  <c r="F20" i="2"/>
  <c r="G20" i="2" s="1"/>
  <c r="F16" i="2"/>
  <c r="G16" i="2" s="1"/>
  <c r="G12" i="1"/>
  <c r="H12" i="1" s="1"/>
  <c r="F7" i="2"/>
  <c r="G7" i="2" s="1"/>
  <c r="F11" i="2"/>
  <c r="G11" i="2" s="1"/>
  <c r="F15" i="2"/>
  <c r="G15" i="2" s="1"/>
  <c r="F19" i="2"/>
  <c r="G19" i="2" s="1"/>
  <c r="G10" i="1"/>
  <c r="H10" i="1" s="1"/>
  <c r="G11" i="1"/>
  <c r="H11" i="1" s="1"/>
  <c r="G13" i="1"/>
  <c r="H13" i="1" s="1"/>
  <c r="G14" i="1"/>
  <c r="G15" i="1"/>
  <c r="G16" i="1"/>
  <c r="G17" i="1"/>
  <c r="G18" i="1"/>
  <c r="G19" i="1"/>
  <c r="F6" i="2"/>
  <c r="G6" i="2" s="1"/>
  <c r="F10" i="2"/>
  <c r="G10" i="2" s="1"/>
  <c r="F14" i="2"/>
  <c r="G14" i="2" s="1"/>
  <c r="F18" i="2"/>
  <c r="G18" i="2" s="1"/>
  <c r="F9" i="2"/>
  <c r="G9" i="2" s="1"/>
  <c r="F13" i="2"/>
  <c r="G13" i="2" s="1"/>
  <c r="F17" i="2"/>
  <c r="G17" i="2" s="1"/>
  <c r="F8" i="2"/>
  <c r="G8" i="2" s="1"/>
  <c r="F12" i="2"/>
  <c r="G12" i="2" s="1"/>
  <c r="C23" i="1" l="1"/>
  <c r="C29" i="1"/>
  <c r="C24" i="1"/>
  <c r="C25" i="1"/>
  <c r="C27" i="1"/>
  <c r="C26" i="1"/>
  <c r="C28" i="1"/>
  <c r="E5" i="1"/>
  <c r="G5" i="1"/>
</calcChain>
</file>

<file path=xl/sharedStrings.xml><?xml version="1.0" encoding="utf-8"?>
<sst xmlns="http://schemas.openxmlformats.org/spreadsheetml/2006/main" count="104" uniqueCount="81">
  <si>
    <t>💰  FUND PAYMENT &amp; SPENDING TRACKER</t>
  </si>
  <si>
    <t>FUND SETUP</t>
  </si>
  <si>
    <t>Total Fund Amount</t>
  </si>
  <si>
    <t>Total Received</t>
  </si>
  <si>
    <t>Total Spent</t>
  </si>
  <si>
    <t>Balance Remaining</t>
  </si>
  <si>
    <t>% Received</t>
  </si>
  <si>
    <t>% Spent</t>
  </si>
  <si>
    <t>% Balance</t>
  </si>
  <si>
    <t>TRANCHE SUMMARY</t>
  </si>
  <si>
    <t>Tranche #</t>
  </si>
  <si>
    <t>Date Received</t>
  </si>
  <si>
    <t>Description</t>
  </si>
  <si>
    <t>% of Fund</t>
  </si>
  <si>
    <t>Amount Received</t>
  </si>
  <si>
    <t>Amount Spent</t>
  </si>
  <si>
    <t>Unspent Balance</t>
  </si>
  <si>
    <t>Status</t>
  </si>
  <si>
    <t>SPENDING BY CATEGORY</t>
  </si>
  <si>
    <t>Category</t>
  </si>
  <si>
    <t>% of Total Spent</t>
  </si>
  <si>
    <t>Materials</t>
  </si>
  <si>
    <t>Labour</t>
  </si>
  <si>
    <t>Transport</t>
  </si>
  <si>
    <t>Admin</t>
  </si>
  <si>
    <t>Utilities</t>
  </si>
  <si>
    <t>Miscellaneous</t>
  </si>
  <si>
    <t>TOTAL</t>
  </si>
  <si>
    <t>PAYMENTS RECEIVED LOG</t>
  </si>
  <si>
    <t>Total Fund Amount:</t>
  </si>
  <si>
    <t>← Enter your total fund amount here</t>
  </si>
  <si>
    <t>Description / Milestone</t>
  </si>
  <si>
    <t>Amount (% of Fund)</t>
  </si>
  <si>
    <t>Cumulative Received</t>
  </si>
  <si>
    <t>Running Balance</t>
  </si>
  <si>
    <t>Notes</t>
  </si>
  <si>
    <t>First Tranche – 70% advance</t>
  </si>
  <si>
    <t>Second Tranche – 30% final</t>
  </si>
  <si>
    <t>SPENDINGS LOG</t>
  </si>
  <si>
    <t>Date Spent</t>
  </si>
  <si>
    <t>Cumulative Spent</t>
  </si>
  <si>
    <t>Receipt/Ref #</t>
  </si>
  <si>
    <t>Site preparation</t>
  </si>
  <si>
    <t>Raw materials – Phase 1</t>
  </si>
  <si>
    <t>Equipment transport</t>
  </si>
  <si>
    <t>Office supplies</t>
  </si>
  <si>
    <t>Electricity &amp; Water</t>
  </si>
  <si>
    <t>Miscellaneous repairs</t>
  </si>
  <si>
    <t>Labour – Phase 2</t>
  </si>
  <si>
    <t>Raw materials – Phase 2</t>
  </si>
  <si>
    <t>Logistics &amp; delivery</t>
  </si>
  <si>
    <t>HOW TO USE THIS TRACKER</t>
  </si>
  <si>
    <t>Step</t>
  </si>
  <si>
    <t>Sheet</t>
  </si>
  <si>
    <t>Where</t>
  </si>
  <si>
    <t>Instructions</t>
  </si>
  <si>
    <t>STEP 1 – Set your Fund</t>
  </si>
  <si>
    <t>Payments</t>
  </si>
  <si>
    <t>B3</t>
  </si>
  <si>
    <t>Enter your total approved fund amount in the yellow cell B3 on the Payments sheet.</t>
  </si>
  <si>
    <t>STEP 2 – Log each Tranche</t>
  </si>
  <si>
    <t>Cols A–D &amp; H</t>
  </si>
  <si>
    <t>Each time you receive a payment, add a row: Tranche #, Date, Description, % of Fund, and optional Notes. Amount, Cumulative &amp; Balance auto-calculate.</t>
  </si>
  <si>
    <t>STEP 3 – Log each Spending</t>
  </si>
  <si>
    <t>Spendings</t>
  </si>
  <si>
    <t>Cols A–E &amp; G–H</t>
  </si>
  <si>
    <t>For every expense, enter: Tranche # (links to which payment), Date, Description, Category (choose from dropdown once set), Amount. Cumulative total auto-updates.</t>
  </si>
  <si>
    <t>STEP 4 – View Dashboard</t>
  </si>
  <si>
    <t>Dashboard</t>
  </si>
  <si>
    <t>All</t>
  </si>
  <si>
    <t>Dashboard auto-summarises total received vs spent, per-tranche balance, and spending by category. No manual entry needed here.</t>
  </si>
  <si>
    <t>COLOUR GUIDE</t>
  </si>
  <si>
    <t>All Sheets</t>
  </si>
  <si>
    <t>—</t>
  </si>
  <si>
    <t>Blue text = cells you fill in. Black text = auto-calculated formulas. Yellow background = key totals/inputs. Green rows = payment entries. Orange rows = spending entries.</t>
  </si>
  <si>
    <t>CATEGORIES</t>
  </si>
  <si>
    <t>Col D</t>
  </si>
  <si>
    <t>Default categories: Materials, Labour, Transport, Admin, Utilities, Miscellaneous. Edit the Dashboard category list (A23:A28) to customise.</t>
  </si>
  <si>
    <t>ADDING ROWS</t>
  </si>
  <si>
    <t>If you need more than 50 spending rows, copy the last row's formula structure downward. The cumulative column formula will adjust automatically.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</si>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</sst>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%"/>
    <numFmt numFmtId="166" formatCode="dd\-mmm\-yyyy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4"/>
      <color rgb="FFFFFFFF"/>
      <name val="Arial"/>
      <charset val="1"/>
    </font>
    <font>
      <b/>
      <sz val="11"/>
      <color rgb="FF0000FF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9E1F2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66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66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4" fillId="0" borderId="0" xfId="0" applyFont="1"/>
    <xf numFmtId="4" fontId="7" fillId="5" borderId="0" xfId="0" applyNumberFormat="1" applyFont="1" applyFill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/>
    </xf>
    <xf numFmtId="166" fontId="10" fillId="8" borderId="1" xfId="0" applyNumberFormat="1" applyFont="1" applyFill="1" applyBorder="1" applyAlignment="1">
      <alignment horizontal="center"/>
    </xf>
    <xf numFmtId="165" fontId="10" fillId="8" borderId="1" xfId="0" applyNumberFormat="1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166" fontId="10" fillId="7" borderId="1" xfId="0" applyNumberFormat="1" applyFont="1" applyFill="1" applyBorder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0" fillId="0" borderId="1" xfId="0" applyBorder="1"/>
    <xf numFmtId="164" fontId="11" fillId="5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166" fontId="10" fillId="9" borderId="1" xfId="0" applyNumberFormat="1" applyFont="1" applyFill="1" applyBorder="1" applyAlignment="1">
      <alignment horizontal="center"/>
    </xf>
    <xf numFmtId="164" fontId="10" fillId="9" borderId="1" xfId="0" applyNumberFormat="1" applyFont="1" applyFill="1" applyBorder="1" applyAlignment="1">
      <alignment horizontal="center"/>
    </xf>
    <xf numFmtId="164" fontId="12" fillId="9" borderId="1" xfId="0" applyNumberFormat="1" applyFont="1" applyFill="1" applyBorder="1" applyAlignment="1">
      <alignment horizontal="center"/>
    </xf>
    <xf numFmtId="164" fontId="10" fillId="7" borderId="1" xfId="0" applyNumberFormat="1" applyFont="1" applyFill="1" applyBorder="1" applyAlignment="1">
      <alignment horizontal="center"/>
    </xf>
    <xf numFmtId="164" fontId="12" fillId="7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6E4F0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zoomScaleNormal="100" workbookViewId="0">
      <selection activeCell="J18" sqref="J18"/>
    </sheetView>
  </sheetViews>
  <sheetFormatPr defaultColWidth="8.7109375" defaultRowHeight="15" x14ac:dyDescent="0.25"/>
  <cols>
    <col min="1" max="1" width="18" customWidth="1"/>
    <col min="2" max="2" width="16" customWidth="1"/>
    <col min="3" max="3" width="28" customWidth="1"/>
    <col min="4" max="4" width="20.140625" customWidth="1"/>
    <col min="5" max="5" width="18" customWidth="1"/>
    <col min="6" max="6" width="16" customWidth="1"/>
    <col min="7" max="7" width="18" customWidth="1"/>
    <col min="8" max="8" width="14" customWidth="1"/>
  </cols>
  <sheetData>
    <row r="1" spans="1:8" ht="39.75" customHeight="1" x14ac:dyDescent="0.25">
      <c r="A1" s="46" t="s">
        <v>0</v>
      </c>
      <c r="B1" s="45"/>
      <c r="C1" s="45"/>
      <c r="D1" s="45"/>
      <c r="E1" s="45"/>
      <c r="F1" s="45"/>
      <c r="G1" s="45"/>
      <c r="H1" s="45"/>
    </row>
    <row r="3" spans="1:8" ht="15" customHeight="1" x14ac:dyDescent="0.25">
      <c r="A3" s="44" t="s">
        <v>1</v>
      </c>
      <c r="B3" s="45"/>
      <c r="C3" s="45"/>
      <c r="D3" s="45"/>
      <c r="E3" s="45"/>
      <c r="F3" s="45"/>
      <c r="G3" s="45"/>
      <c r="H3" s="45"/>
    </row>
    <row r="4" spans="1:8" ht="25.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8" x14ac:dyDescent="0.25">
      <c r="A5" s="2">
        <f>Payments!B3</f>
        <v>1000000</v>
      </c>
      <c r="B5" s="2">
        <f>SUM(Payments!E5:E20)</f>
        <v>1000000</v>
      </c>
      <c r="C5" s="2">
        <f>SUM(Spendings!E4:E53)</f>
        <v>311500</v>
      </c>
      <c r="D5" s="2">
        <f>B5-C5</f>
        <v>688500</v>
      </c>
      <c r="E5" s="3">
        <f>IFERROR(B5/A5,"-")</f>
        <v>1</v>
      </c>
      <c r="F5" s="3">
        <f>IFERROR(C5/A5,"-")</f>
        <v>0.3115</v>
      </c>
      <c r="G5" s="3">
        <f>IFERROR(D5/A5,"-")</f>
        <v>0.6885</v>
      </c>
    </row>
    <row r="8" spans="1:8" ht="15" customHeight="1" x14ac:dyDescent="0.25">
      <c r="A8" s="44" t="s">
        <v>9</v>
      </c>
      <c r="B8" s="45"/>
      <c r="C8" s="45"/>
      <c r="D8" s="45"/>
      <c r="E8" s="45"/>
      <c r="F8" s="45"/>
      <c r="G8" s="45"/>
      <c r="H8" s="45"/>
    </row>
    <row r="9" spans="1:8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</row>
    <row r="10" spans="1:8" x14ac:dyDescent="0.25">
      <c r="A10" s="4">
        <f>IF(Payments!A6="","",Payments!A6)</f>
        <v>1</v>
      </c>
      <c r="B10" s="5">
        <f>IF(Payments!B6="","",Payments!B6)</f>
        <v>45667</v>
      </c>
      <c r="C10" s="4" t="str">
        <f>IF(Payments!C6="","",Payments!C6)</f>
        <v>First Tranche – 70% advance</v>
      </c>
      <c r="D10" s="6">
        <f>IFERROR(Payments!D6/Payments!$B$3,"")</f>
        <v>6.9999999999999997E-7</v>
      </c>
      <c r="E10" s="7">
        <f>IF(Payments!E6="","",Payments!E6)</f>
        <v>700000</v>
      </c>
      <c r="F10" s="7">
        <f>IFERROR(SUMIF(Spendings!B:B,Payments!A6,Spendings!E:E),"")</f>
        <v>0</v>
      </c>
      <c r="G10" s="7">
        <f t="shared" ref="G10:G19" si="0">IFERROR(E10-F10,"")</f>
        <v>700000</v>
      </c>
      <c r="H10" s="4" t="str">
        <f t="shared" ref="H10:H19" si="1">IF(E10="","",IF(G10&lt;=0,"⚠ Over Budget",IF(G10=0,"✔ Fully Spent","✅ In Budget")))</f>
        <v>✅ In Budget</v>
      </c>
    </row>
    <row r="11" spans="1:8" x14ac:dyDescent="0.25">
      <c r="A11" s="8">
        <f>IF(Payments!A7="","",Payments!A7)</f>
        <v>2</v>
      </c>
      <c r="B11" s="9">
        <f>IF(Payments!B7="","",Payments!B7)</f>
        <v>45823</v>
      </c>
      <c r="C11" s="8" t="str">
        <f>IF(Payments!C7="","",Payments!C7)</f>
        <v>Second Tranche – 30% final</v>
      </c>
      <c r="D11" s="10">
        <f>IFERROR(Payments!D7/Payments!$B$3,"")</f>
        <v>2.9999999999999999E-7</v>
      </c>
      <c r="E11" s="11">
        <f>IF(Payments!E7="","",Payments!E7)</f>
        <v>300000</v>
      </c>
      <c r="F11" s="11">
        <f>IFERROR(SUMIF(Spendings!B:B,Payments!A7,Spendings!E:E),"")</f>
        <v>0</v>
      </c>
      <c r="G11" s="11">
        <f t="shared" si="0"/>
        <v>300000</v>
      </c>
      <c r="H11" s="8" t="str">
        <f t="shared" si="1"/>
        <v>✅ In Budget</v>
      </c>
    </row>
    <row r="12" spans="1:8" x14ac:dyDescent="0.25">
      <c r="A12" s="4" t="str">
        <f>IF(Payments!A8="","",Payments!A8)</f>
        <v/>
      </c>
      <c r="B12" s="5" t="str">
        <f>IF(Payments!B8="","",Payments!B8)</f>
        <v/>
      </c>
      <c r="C12" s="4" t="str">
        <f>IF(Payments!C8="","",Payments!C8)</f>
        <v/>
      </c>
      <c r="D12" s="6">
        <f>IFERROR(Payments!D8/Payments!$B$3,"")</f>
        <v>0</v>
      </c>
      <c r="E12" s="7" t="str">
        <f>IF(Payments!E8="","",Payments!E8)</f>
        <v/>
      </c>
      <c r="F12" s="7">
        <f>IFERROR(SUMIF(Spendings!B:B,Payments!A8,Spendings!E:E),"")</f>
        <v>0</v>
      </c>
      <c r="G12" s="7" t="str">
        <f t="shared" si="0"/>
        <v/>
      </c>
      <c r="H12" s="4" t="str">
        <f t="shared" si="1"/>
        <v/>
      </c>
    </row>
    <row r="13" spans="1:8" x14ac:dyDescent="0.25">
      <c r="A13" s="8" t="str">
        <f>IF(Payments!A9="","",Payments!A9)</f>
        <v/>
      </c>
      <c r="B13" s="9" t="str">
        <f>IF(Payments!B9="","",Payments!B9)</f>
        <v/>
      </c>
      <c r="C13" s="8" t="str">
        <f>IF(Payments!C9="","",Payments!C9)</f>
        <v/>
      </c>
      <c r="D13" s="10">
        <f>IFERROR(Payments!D9/Payments!$B$3,"")</f>
        <v>0</v>
      </c>
      <c r="E13" s="11" t="str">
        <f>IF(Payments!E9="","",Payments!E9)</f>
        <v/>
      </c>
      <c r="F13" s="11">
        <f>IFERROR(SUMIF(Spendings!B:B,Payments!A9,Spendings!E:E),"")</f>
        <v>0</v>
      </c>
      <c r="G13" s="11" t="str">
        <f t="shared" si="0"/>
        <v/>
      </c>
      <c r="H13" s="8" t="str">
        <f t="shared" si="1"/>
        <v/>
      </c>
    </row>
    <row r="14" spans="1:8" x14ac:dyDescent="0.25">
      <c r="A14" s="4" t="str">
        <f>IF(Payments!A10="","",Payments!A10)</f>
        <v/>
      </c>
      <c r="B14" s="5" t="str">
        <f>IF(Payments!B10="","",Payments!B10)</f>
        <v/>
      </c>
      <c r="C14" s="4" t="str">
        <f>IF(Payments!C10="","",Payments!C10)</f>
        <v/>
      </c>
      <c r="D14" s="6">
        <f>IFERROR(Payments!D10/Payments!$B$3,"")</f>
        <v>0</v>
      </c>
      <c r="E14" s="7" t="str">
        <f>IF(Payments!E10="","",Payments!E10)</f>
        <v/>
      </c>
      <c r="F14" s="7">
        <f>IFERROR(SUMIF(Spendings!B:B,Payments!A10,Spendings!E:E),"")</f>
        <v>0</v>
      </c>
      <c r="G14" s="7" t="str">
        <f t="shared" si="0"/>
        <v/>
      </c>
      <c r="H14" s="4" t="str">
        <f t="shared" si="1"/>
        <v/>
      </c>
    </row>
    <row r="15" spans="1:8" x14ac:dyDescent="0.25">
      <c r="A15" s="8" t="str">
        <f>IF(Payments!A11="","",Payments!A11)</f>
        <v/>
      </c>
      <c r="B15" s="9" t="str">
        <f>IF(Payments!B11="","",Payments!B11)</f>
        <v/>
      </c>
      <c r="C15" s="8" t="str">
        <f>IF(Payments!C11="","",Payments!C11)</f>
        <v/>
      </c>
      <c r="D15" s="10">
        <f>IFERROR(Payments!D11/Payments!$B$3,"")</f>
        <v>0</v>
      </c>
      <c r="E15" s="11" t="str">
        <f>IF(Payments!E11="","",Payments!E11)</f>
        <v/>
      </c>
      <c r="F15" s="11">
        <f>IFERROR(SUMIF(Spendings!B:B,Payments!A11,Spendings!E:E),"")</f>
        <v>0</v>
      </c>
      <c r="G15" s="11" t="str">
        <f t="shared" si="0"/>
        <v/>
      </c>
      <c r="H15" s="8" t="str">
        <f t="shared" si="1"/>
        <v/>
      </c>
    </row>
    <row r="16" spans="1:8" x14ac:dyDescent="0.25">
      <c r="A16" s="4" t="str">
        <f>IF(Payments!A12="","",Payments!A12)</f>
        <v/>
      </c>
      <c r="B16" s="5" t="str">
        <f>IF(Payments!B12="","",Payments!B12)</f>
        <v/>
      </c>
      <c r="C16" s="4" t="str">
        <f>IF(Payments!C12="","",Payments!C12)</f>
        <v/>
      </c>
      <c r="D16" s="6">
        <f>IFERROR(Payments!D12/Payments!$B$3,"")</f>
        <v>0</v>
      </c>
      <c r="E16" s="7" t="str">
        <f>IF(Payments!E12="","",Payments!E12)</f>
        <v/>
      </c>
      <c r="F16" s="7">
        <f>IFERROR(SUMIF(Spendings!B:B,Payments!A12,Spendings!E:E),"")</f>
        <v>0</v>
      </c>
      <c r="G16" s="7" t="str">
        <f t="shared" si="0"/>
        <v/>
      </c>
      <c r="H16" s="4" t="str">
        <f t="shared" si="1"/>
        <v/>
      </c>
    </row>
    <row r="17" spans="1:8" x14ac:dyDescent="0.25">
      <c r="A17" s="8" t="str">
        <f>IF(Payments!A13="","",Payments!A13)</f>
        <v/>
      </c>
      <c r="B17" s="9" t="str">
        <f>IF(Payments!B13="","",Payments!B13)</f>
        <v/>
      </c>
      <c r="C17" s="8" t="str">
        <f>IF(Payments!C13="","",Payments!C13)</f>
        <v/>
      </c>
      <c r="D17" s="10">
        <f>IFERROR(Payments!D13/Payments!$B$3,"")</f>
        <v>0</v>
      </c>
      <c r="E17" s="11" t="str">
        <f>IF(Payments!E13="","",Payments!E13)</f>
        <v/>
      </c>
      <c r="F17" s="11">
        <f>IFERROR(SUMIF(Spendings!B:B,Payments!A13,Spendings!E:E),"")</f>
        <v>0</v>
      </c>
      <c r="G17" s="11" t="str">
        <f t="shared" si="0"/>
        <v/>
      </c>
      <c r="H17" s="8" t="str">
        <f t="shared" si="1"/>
        <v/>
      </c>
    </row>
    <row r="18" spans="1:8" x14ac:dyDescent="0.25">
      <c r="A18" s="4" t="str">
        <f>IF(Payments!A14="","",Payments!A14)</f>
        <v/>
      </c>
      <c r="B18" s="5" t="str">
        <f>IF(Payments!B14="","",Payments!B14)</f>
        <v/>
      </c>
      <c r="C18" s="4" t="str">
        <f>IF(Payments!C14="","",Payments!C14)</f>
        <v/>
      </c>
      <c r="D18" s="6">
        <f>IFERROR(Payments!D14/Payments!$B$3,"")</f>
        <v>0</v>
      </c>
      <c r="E18" s="7" t="str">
        <f>IF(Payments!E14="","",Payments!E14)</f>
        <v/>
      </c>
      <c r="F18" s="7">
        <f>IFERROR(SUMIF(Spendings!B:B,Payments!A14,Spendings!E:E),"")</f>
        <v>0</v>
      </c>
      <c r="G18" s="7" t="str">
        <f t="shared" si="0"/>
        <v/>
      </c>
      <c r="H18" s="4" t="str">
        <f t="shared" si="1"/>
        <v/>
      </c>
    </row>
    <row r="19" spans="1:8" x14ac:dyDescent="0.25">
      <c r="A19" s="8" t="str">
        <f>IF(Payments!A15="","",Payments!A15)</f>
        <v/>
      </c>
      <c r="B19" s="9" t="str">
        <f>IF(Payments!B15="","",Payments!B15)</f>
        <v/>
      </c>
      <c r="C19" s="8" t="str">
        <f>IF(Payments!C15="","",Payments!C15)</f>
        <v/>
      </c>
      <c r="D19" s="10">
        <f>IFERROR(Payments!D15/Payments!$B$3,"")</f>
        <v>0</v>
      </c>
      <c r="E19" s="11" t="str">
        <f>IF(Payments!E15="","",Payments!E15)</f>
        <v/>
      </c>
      <c r="F19" s="11">
        <f>IFERROR(SUMIF(Spendings!B:B,Payments!A15,Spendings!E:E),"")</f>
        <v>0</v>
      </c>
      <c r="G19" s="11" t="str">
        <f t="shared" si="0"/>
        <v/>
      </c>
      <c r="H19" s="8" t="str">
        <f t="shared" si="1"/>
        <v/>
      </c>
    </row>
    <row r="21" spans="1:8" ht="15" customHeight="1" x14ac:dyDescent="0.25">
      <c r="A21" s="44" t="s">
        <v>18</v>
      </c>
      <c r="B21" s="45"/>
      <c r="C21" s="45"/>
      <c r="D21" s="45"/>
      <c r="E21" s="45"/>
      <c r="F21" s="45"/>
      <c r="G21" s="45"/>
      <c r="H21" s="45"/>
    </row>
    <row r="22" spans="1:8" x14ac:dyDescent="0.25">
      <c r="A22" s="1" t="s">
        <v>19</v>
      </c>
      <c r="B22" s="1" t="s">
        <v>4</v>
      </c>
      <c r="C22" s="1" t="s">
        <v>20</v>
      </c>
    </row>
    <row r="23" spans="1:8" x14ac:dyDescent="0.25">
      <c r="A23" s="12" t="s">
        <v>21</v>
      </c>
      <c r="B23" s="11">
        <f>SUM(Spendings!E:E)</f>
        <v>623000</v>
      </c>
      <c r="C23" s="10">
        <f>IFERROR(B23/SUM(B23:B28),"-")</f>
        <v>0.81491170699803794</v>
      </c>
    </row>
    <row r="24" spans="1:8" x14ac:dyDescent="0.25">
      <c r="A24" s="13" t="s">
        <v>22</v>
      </c>
      <c r="B24" s="7">
        <f>IFERROR(SUMIF(Spendings!D:D,A24,Spendings!E:E),0)</f>
        <v>85000</v>
      </c>
      <c r="C24" s="6">
        <f>IFERROR(B24/SUM(B23:B28),"-")</f>
        <v>0.11118378024852844</v>
      </c>
    </row>
    <row r="25" spans="1:8" x14ac:dyDescent="0.25">
      <c r="A25" s="12" t="s">
        <v>23</v>
      </c>
      <c r="B25" s="11">
        <f>IFERROR(SUMIF(Spendings!D:D,A25,Spendings!E:E),0)</f>
        <v>33000</v>
      </c>
      <c r="C25" s="10">
        <f>IFERROR(B25/SUM(B23:B28),"-")</f>
        <v>4.3165467625899283E-2</v>
      </c>
    </row>
    <row r="26" spans="1:8" x14ac:dyDescent="0.25">
      <c r="A26" s="13" t="s">
        <v>24</v>
      </c>
      <c r="B26" s="7">
        <f>IFERROR(SUMIF(Spendings!D:D,A26,Spendings!E:E),0)</f>
        <v>3500</v>
      </c>
      <c r="C26" s="6">
        <f>IFERROR(B26/SUM(B23:B28),"-")</f>
        <v>4.5781556572923477E-3</v>
      </c>
    </row>
    <row r="27" spans="1:8" x14ac:dyDescent="0.25">
      <c r="A27" s="12" t="s">
        <v>25</v>
      </c>
      <c r="B27" s="11">
        <f>IFERROR(SUMIF(Spendings!D:D,A27,Spendings!E:E),0)</f>
        <v>8000</v>
      </c>
      <c r="C27" s="10">
        <f>IFERROR(B27/SUM(B23:B28),"-")</f>
        <v>1.0464355788096796E-2</v>
      </c>
    </row>
    <row r="28" spans="1:8" x14ac:dyDescent="0.25">
      <c r="A28" s="13" t="s">
        <v>26</v>
      </c>
      <c r="B28" s="7">
        <f>IFERROR(SUMIF(Spendings!D:D,A28,Spendings!E:E),0)</f>
        <v>12000</v>
      </c>
      <c r="C28" s="6">
        <f>IFERROR(B28/SUM(B23:B28),"-")</f>
        <v>1.5696533682145193E-2</v>
      </c>
    </row>
    <row r="29" spans="1:8" x14ac:dyDescent="0.25">
      <c r="A29" s="14" t="s">
        <v>27</v>
      </c>
      <c r="B29" s="15">
        <f>SUM(B23:B28)</f>
        <v>764500</v>
      </c>
      <c r="C29" s="16">
        <f>IFERROR(B29/SUM(B21:B26),"100%")</f>
        <v>1.0268636668905307</v>
      </c>
    </row>
  </sheetData>
  <mergeCells count="4">
    <mergeCell ref="A3:H3"/>
    <mergeCell ref="A8:H8"/>
    <mergeCell ref="A21:H21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topLeftCell="A7" zoomScaleNormal="100" workbookViewId="0">
      <selection activeCell="F22" sqref="F22"/>
    </sheetView>
  </sheetViews>
  <sheetFormatPr defaultColWidth="8.7109375" defaultRowHeight="15" x14ac:dyDescent="0.25"/>
  <cols>
    <col min="1" max="1" width="12" customWidth="1"/>
    <col min="2" max="2" width="16" customWidth="1"/>
    <col min="3" max="3" width="32" customWidth="1"/>
    <col min="4" max="5" width="18" customWidth="1"/>
    <col min="6" max="6" width="20" customWidth="1"/>
    <col min="7" max="7" width="18" customWidth="1"/>
    <col min="8" max="8" width="28" customWidth="1"/>
  </cols>
  <sheetData>
    <row r="1" spans="1:8" ht="34.5" customHeight="1" x14ac:dyDescent="0.25">
      <c r="A1" s="47" t="s">
        <v>28</v>
      </c>
      <c r="B1" s="45"/>
      <c r="C1" s="45"/>
      <c r="D1" s="45"/>
      <c r="E1" s="45"/>
      <c r="F1" s="45"/>
      <c r="G1" s="45"/>
    </row>
    <row r="3" spans="1:8" x14ac:dyDescent="0.25">
      <c r="A3" s="17" t="s">
        <v>29</v>
      </c>
      <c r="B3" s="18">
        <v>1000000</v>
      </c>
      <c r="C3" s="19" t="s">
        <v>30</v>
      </c>
    </row>
    <row r="5" spans="1:8" ht="25.5" customHeight="1" x14ac:dyDescent="0.25">
      <c r="A5" s="20" t="s">
        <v>10</v>
      </c>
      <c r="B5" s="20" t="s">
        <v>11</v>
      </c>
      <c r="C5" s="20" t="s">
        <v>31</v>
      </c>
      <c r="D5" s="20" t="s">
        <v>32</v>
      </c>
      <c r="E5" s="20" t="s">
        <v>14</v>
      </c>
      <c r="F5" s="20" t="s">
        <v>33</v>
      </c>
      <c r="G5" s="20" t="s">
        <v>34</v>
      </c>
      <c r="H5" s="20" t="s">
        <v>35</v>
      </c>
    </row>
    <row r="6" spans="1:8" x14ac:dyDescent="0.25">
      <c r="A6" s="21">
        <v>1</v>
      </c>
      <c r="B6" s="22">
        <v>45667</v>
      </c>
      <c r="C6" s="21" t="s">
        <v>36</v>
      </c>
      <c r="D6" s="23">
        <v>0.7</v>
      </c>
      <c r="E6" s="24">
        <f t="shared" ref="E6:E20" si="0">IFERROR(IF(D6="","",D6*$B$3),"")</f>
        <v>700000</v>
      </c>
      <c r="F6" s="24">
        <f>IFERROR(SUM($E$6:E6),"")</f>
        <v>700000</v>
      </c>
      <c r="G6" s="24">
        <f t="shared" ref="G6:G20" si="1">IFERROR($B$3-F6,"")</f>
        <v>300000</v>
      </c>
      <c r="H6" s="21"/>
    </row>
    <row r="7" spans="1:8" x14ac:dyDescent="0.25">
      <c r="A7" s="25">
        <v>2</v>
      </c>
      <c r="B7" s="26">
        <v>45823</v>
      </c>
      <c r="C7" s="25" t="s">
        <v>37</v>
      </c>
      <c r="D7" s="27">
        <v>0.3</v>
      </c>
      <c r="E7" s="11">
        <f t="shared" si="0"/>
        <v>300000</v>
      </c>
      <c r="F7" s="11">
        <f>IFERROR(SUM($E$6:E7),"")</f>
        <v>1000000</v>
      </c>
      <c r="G7" s="11">
        <f t="shared" si="1"/>
        <v>0</v>
      </c>
      <c r="H7" s="25"/>
    </row>
    <row r="8" spans="1:8" x14ac:dyDescent="0.25">
      <c r="A8" s="21"/>
      <c r="B8" s="22"/>
      <c r="C8" s="21"/>
      <c r="D8" s="23"/>
      <c r="E8" s="24"/>
      <c r="F8" s="24">
        <f>IFERROR(SUM($E$6:E8),"")</f>
        <v>1000000</v>
      </c>
      <c r="G8" s="24">
        <f t="shared" si="1"/>
        <v>0</v>
      </c>
      <c r="H8" s="21"/>
    </row>
    <row r="9" spans="1:8" x14ac:dyDescent="0.25">
      <c r="A9" s="25"/>
      <c r="B9" s="26"/>
      <c r="C9" s="25"/>
      <c r="D9" s="27"/>
      <c r="E9" s="11"/>
      <c r="F9" s="11">
        <f>IFERROR(SUM($E$6:E9),"")</f>
        <v>1000000</v>
      </c>
      <c r="G9" s="11">
        <f t="shared" si="1"/>
        <v>0</v>
      </c>
      <c r="H9" s="25"/>
    </row>
    <row r="10" spans="1:8" x14ac:dyDescent="0.25">
      <c r="A10" s="21"/>
      <c r="B10" s="22"/>
      <c r="C10" s="21"/>
      <c r="D10" s="23"/>
      <c r="E10" s="24" t="str">
        <f t="shared" si="0"/>
        <v/>
      </c>
      <c r="F10" s="24">
        <f>IFERROR(SUM($E$6:E10),"")</f>
        <v>1000000</v>
      </c>
      <c r="G10" s="24">
        <f t="shared" si="1"/>
        <v>0</v>
      </c>
      <c r="H10" s="21"/>
    </row>
    <row r="11" spans="1:8" x14ac:dyDescent="0.25">
      <c r="A11" s="25"/>
      <c r="B11" s="26"/>
      <c r="C11" s="25"/>
      <c r="D11" s="27"/>
      <c r="E11" s="11" t="str">
        <f t="shared" si="0"/>
        <v/>
      </c>
      <c r="F11" s="11">
        <f>IFERROR(SUM($E$6:E11),"")</f>
        <v>1000000</v>
      </c>
      <c r="G11" s="11">
        <f t="shared" si="1"/>
        <v>0</v>
      </c>
      <c r="H11" s="25"/>
    </row>
    <row r="12" spans="1:8" x14ac:dyDescent="0.25">
      <c r="A12" s="21"/>
      <c r="B12" s="22"/>
      <c r="C12" s="21"/>
      <c r="D12" s="23"/>
      <c r="E12" s="24" t="str">
        <f t="shared" si="0"/>
        <v/>
      </c>
      <c r="F12" s="24">
        <f>IFERROR(SUM($E$6:E12),"")</f>
        <v>1000000</v>
      </c>
      <c r="G12" s="24">
        <f t="shared" si="1"/>
        <v>0</v>
      </c>
      <c r="H12" s="21"/>
    </row>
    <row r="13" spans="1:8" x14ac:dyDescent="0.25">
      <c r="A13" s="25"/>
      <c r="B13" s="26"/>
      <c r="C13" s="25"/>
      <c r="D13" s="27"/>
      <c r="E13" s="11" t="str">
        <f t="shared" si="0"/>
        <v/>
      </c>
      <c r="F13" s="11">
        <f>IFERROR(SUM($E$6:E13),"")</f>
        <v>1000000</v>
      </c>
      <c r="G13" s="11">
        <f t="shared" si="1"/>
        <v>0</v>
      </c>
      <c r="H13" s="25"/>
    </row>
    <row r="14" spans="1:8" x14ac:dyDescent="0.25">
      <c r="A14" s="21"/>
      <c r="B14" s="22"/>
      <c r="C14" s="21"/>
      <c r="D14" s="23"/>
      <c r="E14" s="24" t="str">
        <f t="shared" si="0"/>
        <v/>
      </c>
      <c r="F14" s="24">
        <f>IFERROR(SUM($E$6:E14),"")</f>
        <v>1000000</v>
      </c>
      <c r="G14" s="24">
        <f t="shared" si="1"/>
        <v>0</v>
      </c>
      <c r="H14" s="21"/>
    </row>
    <row r="15" spans="1:8" x14ac:dyDescent="0.25">
      <c r="A15" s="25"/>
      <c r="B15" s="26"/>
      <c r="C15" s="25"/>
      <c r="D15" s="27"/>
      <c r="E15" s="11" t="str">
        <f t="shared" si="0"/>
        <v/>
      </c>
      <c r="F15" s="11">
        <f>IFERROR(SUM($E$6:E15),"")</f>
        <v>1000000</v>
      </c>
      <c r="G15" s="11">
        <f t="shared" si="1"/>
        <v>0</v>
      </c>
      <c r="H15" s="25"/>
    </row>
    <row r="16" spans="1:8" x14ac:dyDescent="0.25">
      <c r="A16" s="21"/>
      <c r="B16" s="22"/>
      <c r="C16" s="21"/>
      <c r="D16" s="23"/>
      <c r="E16" s="24" t="str">
        <f t="shared" si="0"/>
        <v/>
      </c>
      <c r="F16" s="24">
        <f>IFERROR(SUM($E$6:E16),"")</f>
        <v>1000000</v>
      </c>
      <c r="G16" s="24">
        <f t="shared" si="1"/>
        <v>0</v>
      </c>
      <c r="H16" s="21"/>
    </row>
    <row r="17" spans="1:8" x14ac:dyDescent="0.25">
      <c r="A17" s="25"/>
      <c r="B17" s="26"/>
      <c r="C17" s="25"/>
      <c r="D17" s="27"/>
      <c r="E17" s="11" t="str">
        <f t="shared" si="0"/>
        <v/>
      </c>
      <c r="F17" s="11">
        <f>IFERROR(SUM($E$6:E17),"")</f>
        <v>1000000</v>
      </c>
      <c r="G17" s="11">
        <f t="shared" si="1"/>
        <v>0</v>
      </c>
      <c r="H17" s="25"/>
    </row>
    <row r="18" spans="1:8" x14ac:dyDescent="0.25">
      <c r="A18" s="21"/>
      <c r="B18" s="22"/>
      <c r="C18" s="21"/>
      <c r="D18" s="23"/>
      <c r="E18" s="24" t="str">
        <f t="shared" si="0"/>
        <v/>
      </c>
      <c r="F18" s="24">
        <f>IFERROR(SUM($E$6:E18),"")</f>
        <v>1000000</v>
      </c>
      <c r="G18" s="24">
        <f t="shared" si="1"/>
        <v>0</v>
      </c>
      <c r="H18" s="21"/>
    </row>
    <row r="19" spans="1:8" x14ac:dyDescent="0.25">
      <c r="A19" s="25"/>
      <c r="B19" s="26"/>
      <c r="C19" s="25"/>
      <c r="D19" s="27"/>
      <c r="E19" s="11" t="str">
        <f t="shared" si="0"/>
        <v/>
      </c>
      <c r="F19" s="11">
        <f>IFERROR(SUM($E$6:E19),"")</f>
        <v>1000000</v>
      </c>
      <c r="G19" s="11">
        <f t="shared" si="1"/>
        <v>0</v>
      </c>
      <c r="H19" s="25"/>
    </row>
    <row r="20" spans="1:8" x14ac:dyDescent="0.25">
      <c r="A20" s="21"/>
      <c r="B20" s="22"/>
      <c r="C20" s="21"/>
      <c r="D20" s="23"/>
      <c r="E20" s="24" t="str">
        <f t="shared" si="0"/>
        <v/>
      </c>
      <c r="F20" s="24">
        <f>IFERROR(SUM($E$6:E20),"")</f>
        <v>1000000</v>
      </c>
      <c r="G20" s="24">
        <f t="shared" si="1"/>
        <v>0</v>
      </c>
      <c r="H20" s="21"/>
    </row>
    <row r="21" spans="1:8" x14ac:dyDescent="0.25">
      <c r="A21" s="28" t="s">
        <v>80</v>
      </c>
      <c r="B21" s="29"/>
      <c r="C21" s="29"/>
      <c r="D21" s="29"/>
      <c r="E21" s="30">
        <f>SUM(E6:E20)</f>
        <v>1000000</v>
      </c>
      <c r="F21" s="29"/>
      <c r="G21" s="29"/>
      <c r="H21" s="29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showGridLines="0" topLeftCell="A37" zoomScaleNormal="100" workbookViewId="0">
      <selection activeCell="F59" sqref="F59"/>
    </sheetView>
  </sheetViews>
  <sheetFormatPr defaultColWidth="8.7109375" defaultRowHeight="15" x14ac:dyDescent="0.25"/>
  <cols>
    <col min="1" max="1" width="12" customWidth="1"/>
    <col min="2" max="2" width="16" customWidth="1"/>
    <col min="3" max="3" width="32" customWidth="1"/>
    <col min="4" max="5" width="16" customWidth="1"/>
    <col min="6" max="6" width="18" customWidth="1"/>
    <col min="7" max="7" width="16" customWidth="1"/>
    <col min="8" max="8" width="28" customWidth="1"/>
  </cols>
  <sheetData>
    <row r="1" spans="1:8" ht="34.5" customHeight="1" x14ac:dyDescent="0.25">
      <c r="A1" s="47" t="s">
        <v>38</v>
      </c>
      <c r="B1" s="45"/>
      <c r="C1" s="45"/>
      <c r="D1" s="45"/>
      <c r="E1" s="45"/>
      <c r="F1" s="45"/>
      <c r="G1" s="45"/>
      <c r="H1" s="45"/>
    </row>
    <row r="3" spans="1:8" x14ac:dyDescent="0.25">
      <c r="A3" s="20" t="s">
        <v>10</v>
      </c>
      <c r="B3" s="20" t="s">
        <v>39</v>
      </c>
      <c r="C3" s="20" t="s">
        <v>12</v>
      </c>
      <c r="D3" s="20" t="s">
        <v>19</v>
      </c>
      <c r="E3" s="20" t="s">
        <v>15</v>
      </c>
      <c r="F3" s="20" t="s">
        <v>40</v>
      </c>
      <c r="G3" s="20" t="s">
        <v>41</v>
      </c>
      <c r="H3" s="20" t="s">
        <v>35</v>
      </c>
    </row>
    <row r="4" spans="1:8" x14ac:dyDescent="0.25">
      <c r="A4" s="31">
        <v>1</v>
      </c>
      <c r="B4" s="32">
        <v>45672</v>
      </c>
      <c r="C4" s="31" t="s">
        <v>42</v>
      </c>
      <c r="D4" s="31" t="s">
        <v>22</v>
      </c>
      <c r="E4" s="33">
        <v>25000</v>
      </c>
      <c r="F4" s="34">
        <f>IFERROR(SUM($E$4:E4),"")</f>
        <v>25000</v>
      </c>
      <c r="G4" s="31"/>
      <c r="H4" s="31"/>
    </row>
    <row r="5" spans="1:8" x14ac:dyDescent="0.25">
      <c r="A5" s="25">
        <v>1</v>
      </c>
      <c r="B5" s="26">
        <v>45677</v>
      </c>
      <c r="C5" s="25" t="s">
        <v>43</v>
      </c>
      <c r="D5" s="25" t="s">
        <v>21</v>
      </c>
      <c r="E5" s="35">
        <v>80000</v>
      </c>
      <c r="F5" s="36">
        <f>IFERROR(SUM($E$4:E5),"")</f>
        <v>105000</v>
      </c>
      <c r="G5" s="25"/>
      <c r="H5" s="25"/>
    </row>
    <row r="6" spans="1:8" x14ac:dyDescent="0.25">
      <c r="A6" s="31">
        <v>1</v>
      </c>
      <c r="B6" s="32">
        <v>45693</v>
      </c>
      <c r="C6" s="31" t="s">
        <v>44</v>
      </c>
      <c r="D6" s="31" t="s">
        <v>23</v>
      </c>
      <c r="E6" s="33">
        <v>15000</v>
      </c>
      <c r="F6" s="34">
        <f>IFERROR(SUM($E$4:E6),"")</f>
        <v>120000</v>
      </c>
      <c r="G6" s="31"/>
      <c r="H6" s="31"/>
    </row>
    <row r="7" spans="1:8" x14ac:dyDescent="0.25">
      <c r="A7" s="25">
        <v>1</v>
      </c>
      <c r="B7" s="26">
        <v>45706</v>
      </c>
      <c r="C7" s="25" t="s">
        <v>45</v>
      </c>
      <c r="D7" s="25" t="s">
        <v>24</v>
      </c>
      <c r="E7" s="35">
        <v>3500</v>
      </c>
      <c r="F7" s="36">
        <f>IFERROR(SUM($E$4:E7),"")</f>
        <v>123500</v>
      </c>
      <c r="G7" s="25"/>
      <c r="H7" s="25"/>
    </row>
    <row r="8" spans="1:8" x14ac:dyDescent="0.25">
      <c r="A8" s="31">
        <v>1</v>
      </c>
      <c r="B8" s="32">
        <v>45717</v>
      </c>
      <c r="C8" s="31" t="s">
        <v>46</v>
      </c>
      <c r="D8" s="31" t="s">
        <v>25</v>
      </c>
      <c r="E8" s="33">
        <v>8000</v>
      </c>
      <c r="F8" s="34">
        <f>IFERROR(SUM($E$4:E8),"")</f>
        <v>131500</v>
      </c>
      <c r="G8" s="31"/>
      <c r="H8" s="31"/>
    </row>
    <row r="9" spans="1:8" x14ac:dyDescent="0.25">
      <c r="A9" s="25">
        <v>1</v>
      </c>
      <c r="B9" s="26">
        <v>45738</v>
      </c>
      <c r="C9" s="25" t="s">
        <v>47</v>
      </c>
      <c r="D9" s="25" t="s">
        <v>26</v>
      </c>
      <c r="E9" s="35">
        <v>12000</v>
      </c>
      <c r="F9" s="36">
        <f>IFERROR(SUM($E$4:E9),"")</f>
        <v>143500</v>
      </c>
      <c r="G9" s="25"/>
      <c r="H9" s="25"/>
    </row>
    <row r="10" spans="1:8" x14ac:dyDescent="0.25">
      <c r="A10" s="31">
        <v>2</v>
      </c>
      <c r="B10" s="32">
        <v>45839</v>
      </c>
      <c r="C10" s="31" t="s">
        <v>48</v>
      </c>
      <c r="D10" s="31" t="s">
        <v>22</v>
      </c>
      <c r="E10" s="33">
        <v>60000</v>
      </c>
      <c r="F10" s="34">
        <f>IFERROR(SUM($E$4:E10),"")</f>
        <v>203500</v>
      </c>
      <c r="G10" s="31"/>
      <c r="H10" s="31"/>
    </row>
    <row r="11" spans="1:8" x14ac:dyDescent="0.25">
      <c r="A11" s="25">
        <v>2</v>
      </c>
      <c r="B11" s="26">
        <v>45848</v>
      </c>
      <c r="C11" s="25" t="s">
        <v>49</v>
      </c>
      <c r="D11" s="25" t="s">
        <v>21</v>
      </c>
      <c r="E11" s="35">
        <v>90000</v>
      </c>
      <c r="F11" s="36">
        <f>IFERROR(SUM($E$4:E11),"")</f>
        <v>293500</v>
      </c>
      <c r="G11" s="25"/>
      <c r="H11" s="25"/>
    </row>
    <row r="12" spans="1:8" x14ac:dyDescent="0.25">
      <c r="A12" s="31">
        <v>2</v>
      </c>
      <c r="B12" s="32">
        <v>45866</v>
      </c>
      <c r="C12" s="31" t="s">
        <v>50</v>
      </c>
      <c r="D12" s="31" t="s">
        <v>23</v>
      </c>
      <c r="E12" s="33">
        <v>18000</v>
      </c>
      <c r="F12" s="34">
        <f>IFERROR(SUM($E$4:E12),"")</f>
        <v>311500</v>
      </c>
      <c r="G12" s="31"/>
      <c r="H12" s="31"/>
    </row>
    <row r="13" spans="1:8" x14ac:dyDescent="0.25">
      <c r="A13" s="25"/>
      <c r="B13" s="26"/>
      <c r="C13" s="25"/>
      <c r="D13" s="25"/>
      <c r="E13" s="35"/>
      <c r="F13" s="36">
        <f>IFERROR(SUM($E$4:E13),"")</f>
        <v>311500</v>
      </c>
      <c r="G13" s="25"/>
      <c r="H13" s="25"/>
    </row>
    <row r="14" spans="1:8" x14ac:dyDescent="0.25">
      <c r="A14" s="31"/>
      <c r="B14" s="32"/>
      <c r="C14" s="31"/>
      <c r="D14" s="31"/>
      <c r="E14" s="33"/>
      <c r="F14" s="34">
        <f>IFERROR(SUM($E$4:E14),"")</f>
        <v>311500</v>
      </c>
      <c r="G14" s="31"/>
      <c r="H14" s="31"/>
    </row>
    <row r="15" spans="1:8" x14ac:dyDescent="0.25">
      <c r="A15" s="25"/>
      <c r="B15" s="26"/>
      <c r="C15" s="25"/>
      <c r="D15" s="25"/>
      <c r="E15" s="35"/>
      <c r="F15" s="36">
        <f>IFERROR(SUM($E$4:E15),"")</f>
        <v>311500</v>
      </c>
      <c r="G15" s="25"/>
      <c r="H15" s="25"/>
    </row>
    <row r="16" spans="1:8" x14ac:dyDescent="0.25">
      <c r="A16" s="31"/>
      <c r="B16" s="32"/>
      <c r="C16" s="31"/>
      <c r="D16" s="31"/>
      <c r="E16" s="33"/>
      <c r="F16" s="34">
        <f>IFERROR(SUM($E$4:E16),"")</f>
        <v>311500</v>
      </c>
      <c r="G16" s="31"/>
      <c r="H16" s="31"/>
    </row>
    <row r="17" spans="1:8" x14ac:dyDescent="0.25">
      <c r="A17" s="25"/>
      <c r="B17" s="26"/>
      <c r="C17" s="25"/>
      <c r="D17" s="25"/>
      <c r="E17" s="35"/>
      <c r="F17" s="36">
        <f>IFERROR(SUM($E$4:E17),"")</f>
        <v>311500</v>
      </c>
      <c r="G17" s="25"/>
      <c r="H17" s="25"/>
    </row>
    <row r="18" spans="1:8" x14ac:dyDescent="0.25">
      <c r="A18" s="31"/>
      <c r="B18" s="32"/>
      <c r="C18" s="31"/>
      <c r="D18" s="31"/>
      <c r="E18" s="33"/>
      <c r="F18" s="34">
        <f>IFERROR(SUM($E$4:E18),"")</f>
        <v>311500</v>
      </c>
      <c r="G18" s="31"/>
      <c r="H18" s="31"/>
    </row>
    <row r="19" spans="1:8" x14ac:dyDescent="0.25">
      <c r="A19" s="25"/>
      <c r="B19" s="26"/>
      <c r="C19" s="25"/>
      <c r="D19" s="25"/>
      <c r="E19" s="35"/>
      <c r="F19" s="36">
        <f>IFERROR(SUM($E$4:E19),"")</f>
        <v>311500</v>
      </c>
      <c r="G19" s="25"/>
      <c r="H19" s="25"/>
    </row>
    <row r="20" spans="1:8" x14ac:dyDescent="0.25">
      <c r="A20" s="31"/>
      <c r="B20" s="32"/>
      <c r="C20" s="31"/>
      <c r="D20" s="31"/>
      <c r="E20" s="33"/>
      <c r="F20" s="34">
        <f>IFERROR(SUM($E$4:E20),"")</f>
        <v>311500</v>
      </c>
      <c r="G20" s="31"/>
      <c r="H20" s="31"/>
    </row>
    <row r="21" spans="1:8" x14ac:dyDescent="0.25">
      <c r="A21" s="25"/>
      <c r="B21" s="26"/>
      <c r="C21" s="25"/>
      <c r="D21" s="25"/>
      <c r="E21" s="35"/>
      <c r="F21" s="36">
        <f>IFERROR(SUM($E$4:E21),"")</f>
        <v>311500</v>
      </c>
      <c r="G21" s="25"/>
      <c r="H21" s="25"/>
    </row>
    <row r="22" spans="1:8" x14ac:dyDescent="0.25">
      <c r="A22" s="31"/>
      <c r="B22" s="32"/>
      <c r="C22" s="31"/>
      <c r="D22" s="31"/>
      <c r="E22" s="33"/>
      <c r="F22" s="34">
        <f>IFERROR(SUM($E$4:E22),"")</f>
        <v>311500</v>
      </c>
      <c r="G22" s="31"/>
      <c r="H22" s="31"/>
    </row>
    <row r="23" spans="1:8" x14ac:dyDescent="0.25">
      <c r="A23" s="25"/>
      <c r="B23" s="26"/>
      <c r="C23" s="25"/>
      <c r="D23" s="25"/>
      <c r="E23" s="35"/>
      <c r="F23" s="36">
        <f>IFERROR(SUM($E$4:E23),"")</f>
        <v>311500</v>
      </c>
      <c r="G23" s="25"/>
      <c r="H23" s="25"/>
    </row>
    <row r="24" spans="1:8" x14ac:dyDescent="0.25">
      <c r="A24" s="31"/>
      <c r="B24" s="32"/>
      <c r="C24" s="31"/>
      <c r="D24" s="31"/>
      <c r="E24" s="33"/>
      <c r="F24" s="34">
        <f>IFERROR(SUM($E$4:E24),"")</f>
        <v>311500</v>
      </c>
      <c r="G24" s="31"/>
      <c r="H24" s="31"/>
    </row>
    <row r="25" spans="1:8" x14ac:dyDescent="0.25">
      <c r="A25" s="25"/>
      <c r="B25" s="26"/>
      <c r="C25" s="25"/>
      <c r="D25" s="25"/>
      <c r="E25" s="35"/>
      <c r="F25" s="36">
        <f>IFERROR(SUM($E$4:E25),"")</f>
        <v>311500</v>
      </c>
      <c r="G25" s="25"/>
      <c r="H25" s="25"/>
    </row>
    <row r="26" spans="1:8" x14ac:dyDescent="0.25">
      <c r="A26" s="31"/>
      <c r="B26" s="32"/>
      <c r="C26" s="31"/>
      <c r="D26" s="31"/>
      <c r="E26" s="33"/>
      <c r="F26" s="34">
        <f>IFERROR(SUM($E$4:E26),"")</f>
        <v>311500</v>
      </c>
      <c r="G26" s="31"/>
      <c r="H26" s="31"/>
    </row>
    <row r="27" spans="1:8" x14ac:dyDescent="0.25">
      <c r="A27" s="25"/>
      <c r="B27" s="26"/>
      <c r="C27" s="25"/>
      <c r="D27" s="25"/>
      <c r="E27" s="35"/>
      <c r="F27" s="36">
        <f>IFERROR(SUM($E$4:E27),"")</f>
        <v>311500</v>
      </c>
      <c r="G27" s="25"/>
      <c r="H27" s="25"/>
    </row>
    <row r="28" spans="1:8" x14ac:dyDescent="0.25">
      <c r="A28" s="31"/>
      <c r="B28" s="32"/>
      <c r="C28" s="31"/>
      <c r="D28" s="31"/>
      <c r="E28" s="33"/>
      <c r="F28" s="34">
        <f>IFERROR(SUM($E$4:E28),"")</f>
        <v>311500</v>
      </c>
      <c r="G28" s="31"/>
      <c r="H28" s="31"/>
    </row>
    <row r="29" spans="1:8" x14ac:dyDescent="0.25">
      <c r="A29" s="25"/>
      <c r="B29" s="26"/>
      <c r="C29" s="25"/>
      <c r="D29" s="25"/>
      <c r="E29" s="35"/>
      <c r="F29" s="36">
        <f>IFERROR(SUM($E$4:E29),"")</f>
        <v>311500</v>
      </c>
      <c r="G29" s="25"/>
      <c r="H29" s="25"/>
    </row>
    <row r="30" spans="1:8" x14ac:dyDescent="0.25">
      <c r="A30" s="31"/>
      <c r="B30" s="32"/>
      <c r="C30" s="31"/>
      <c r="D30" s="31"/>
      <c r="E30" s="33"/>
      <c r="F30" s="34">
        <f>IFERROR(SUM($E$4:E30),"")</f>
        <v>311500</v>
      </c>
      <c r="G30" s="31"/>
      <c r="H30" s="31"/>
    </row>
    <row r="31" spans="1:8" x14ac:dyDescent="0.25">
      <c r="A31" s="25"/>
      <c r="B31" s="26"/>
      <c r="C31" s="25"/>
      <c r="D31" s="25"/>
      <c r="E31" s="35"/>
      <c r="F31" s="36">
        <f>IFERROR(SUM($E$4:E31),"")</f>
        <v>311500</v>
      </c>
      <c r="G31" s="25"/>
      <c r="H31" s="25"/>
    </row>
    <row r="32" spans="1:8" x14ac:dyDescent="0.25">
      <c r="A32" s="31"/>
      <c r="B32" s="32"/>
      <c r="C32" s="31"/>
      <c r="D32" s="31"/>
      <c r="E32" s="33"/>
      <c r="F32" s="34">
        <f>IFERROR(SUM($E$4:E32),"")</f>
        <v>311500</v>
      </c>
      <c r="G32" s="31"/>
      <c r="H32" s="31"/>
    </row>
    <row r="33" spans="1:8" x14ac:dyDescent="0.25">
      <c r="A33" s="25"/>
      <c r="B33" s="26"/>
      <c r="C33" s="25"/>
      <c r="D33" s="25"/>
      <c r="E33" s="35"/>
      <c r="F33" s="36">
        <f>IFERROR(SUM($E$4:E33),"")</f>
        <v>311500</v>
      </c>
      <c r="G33" s="25"/>
      <c r="H33" s="25"/>
    </row>
    <row r="34" spans="1:8" x14ac:dyDescent="0.25">
      <c r="A34" s="31"/>
      <c r="B34" s="32"/>
      <c r="C34" s="31"/>
      <c r="D34" s="31"/>
      <c r="E34" s="33"/>
      <c r="F34" s="34">
        <f>IFERROR(SUM($E$4:E34),"")</f>
        <v>311500</v>
      </c>
      <c r="G34" s="31"/>
      <c r="H34" s="31"/>
    </row>
    <row r="35" spans="1:8" x14ac:dyDescent="0.25">
      <c r="A35" s="25"/>
      <c r="B35" s="26"/>
      <c r="C35" s="25"/>
      <c r="D35" s="25"/>
      <c r="E35" s="35"/>
      <c r="F35" s="36">
        <f>IFERROR(SUM($E$4:E35),"")</f>
        <v>311500</v>
      </c>
      <c r="G35" s="25"/>
      <c r="H35" s="25"/>
    </row>
    <row r="36" spans="1:8" x14ac:dyDescent="0.25">
      <c r="A36" s="31"/>
      <c r="B36" s="32"/>
      <c r="C36" s="31"/>
      <c r="D36" s="31"/>
      <c r="E36" s="33"/>
      <c r="F36" s="34">
        <f>IFERROR(SUM($E$4:E36),"")</f>
        <v>311500</v>
      </c>
      <c r="G36" s="31"/>
      <c r="H36" s="31"/>
    </row>
    <row r="37" spans="1:8" x14ac:dyDescent="0.25">
      <c r="A37" s="25"/>
      <c r="B37" s="26"/>
      <c r="C37" s="25"/>
      <c r="D37" s="25"/>
      <c r="E37" s="35"/>
      <c r="F37" s="36">
        <f>IFERROR(SUM($E$4:E37),"")</f>
        <v>311500</v>
      </c>
      <c r="G37" s="25"/>
      <c r="H37" s="25"/>
    </row>
    <row r="38" spans="1:8" x14ac:dyDescent="0.25">
      <c r="A38" s="31"/>
      <c r="B38" s="32"/>
      <c r="C38" s="31"/>
      <c r="D38" s="31"/>
      <c r="E38" s="33"/>
      <c r="F38" s="34">
        <f>IFERROR(SUM($E$4:E38),"")</f>
        <v>311500</v>
      </c>
      <c r="G38" s="31"/>
      <c r="H38" s="31"/>
    </row>
    <row r="39" spans="1:8" x14ac:dyDescent="0.25">
      <c r="A39" s="25"/>
      <c r="B39" s="26"/>
      <c r="C39" s="25"/>
      <c r="D39" s="25"/>
      <c r="E39" s="35"/>
      <c r="F39" s="36">
        <f>IFERROR(SUM($E$4:E39),"")</f>
        <v>311500</v>
      </c>
      <c r="G39" s="25"/>
      <c r="H39" s="25"/>
    </row>
    <row r="40" spans="1:8" x14ac:dyDescent="0.25">
      <c r="A40" s="31"/>
      <c r="B40" s="32"/>
      <c r="C40" s="31"/>
      <c r="D40" s="31"/>
      <c r="E40" s="33"/>
      <c r="F40" s="34">
        <f>IFERROR(SUM($E$4:E40),"")</f>
        <v>311500</v>
      </c>
      <c r="G40" s="31"/>
      <c r="H40" s="31"/>
    </row>
    <row r="41" spans="1:8" x14ac:dyDescent="0.25">
      <c r="A41" s="25"/>
      <c r="B41" s="26"/>
      <c r="C41" s="25"/>
      <c r="D41" s="25"/>
      <c r="E41" s="35"/>
      <c r="F41" s="36">
        <f>IFERROR(SUM($E$4:E41),"")</f>
        <v>311500</v>
      </c>
      <c r="G41" s="25"/>
      <c r="H41" s="25"/>
    </row>
    <row r="42" spans="1:8" x14ac:dyDescent="0.25">
      <c r="A42" s="31"/>
      <c r="B42" s="32"/>
      <c r="C42" s="31"/>
      <c r="D42" s="31"/>
      <c r="E42" s="33"/>
      <c r="F42" s="34">
        <f>IFERROR(SUM($E$4:E42),"")</f>
        <v>311500</v>
      </c>
      <c r="G42" s="31"/>
      <c r="H42" s="31"/>
    </row>
    <row r="43" spans="1:8" x14ac:dyDescent="0.25">
      <c r="A43" s="25"/>
      <c r="B43" s="26"/>
      <c r="C43" s="25"/>
      <c r="D43" s="25"/>
      <c r="E43" s="35"/>
      <c r="F43" s="36">
        <f>IFERROR(SUM($E$4:E43),"")</f>
        <v>311500</v>
      </c>
      <c r="G43" s="25"/>
      <c r="H43" s="25"/>
    </row>
    <row r="44" spans="1:8" x14ac:dyDescent="0.25">
      <c r="A44" s="31"/>
      <c r="B44" s="32"/>
      <c r="C44" s="31"/>
      <c r="D44" s="31"/>
      <c r="E44" s="33"/>
      <c r="F44" s="34">
        <f>IFERROR(SUM($E$4:E44),"")</f>
        <v>311500</v>
      </c>
      <c r="G44" s="31"/>
      <c r="H44" s="31"/>
    </row>
    <row r="45" spans="1:8" x14ac:dyDescent="0.25">
      <c r="A45" s="25"/>
      <c r="B45" s="26"/>
      <c r="C45" s="25"/>
      <c r="D45" s="25"/>
      <c r="E45" s="35"/>
      <c r="F45" s="36">
        <f>IFERROR(SUM($E$4:E45),"")</f>
        <v>311500</v>
      </c>
      <c r="G45" s="25"/>
      <c r="H45" s="25"/>
    </row>
    <row r="46" spans="1:8" x14ac:dyDescent="0.25">
      <c r="A46" s="31"/>
      <c r="B46" s="32"/>
      <c r="C46" s="31"/>
      <c r="D46" s="31"/>
      <c r="E46" s="33"/>
      <c r="F46" s="34">
        <f>IFERROR(SUM($E$4:E46),"")</f>
        <v>311500</v>
      </c>
      <c r="G46" s="31"/>
      <c r="H46" s="31"/>
    </row>
    <row r="47" spans="1:8" x14ac:dyDescent="0.25">
      <c r="A47" s="25"/>
      <c r="B47" s="26"/>
      <c r="C47" s="25"/>
      <c r="D47" s="25"/>
      <c r="E47" s="35"/>
      <c r="F47" s="36">
        <f>IFERROR(SUM($E$4:E47),"")</f>
        <v>311500</v>
      </c>
      <c r="G47" s="25"/>
      <c r="H47" s="25"/>
    </row>
    <row r="48" spans="1:8" x14ac:dyDescent="0.25">
      <c r="A48" s="31"/>
      <c r="B48" s="32"/>
      <c r="C48" s="31"/>
      <c r="D48" s="31"/>
      <c r="E48" s="33"/>
      <c r="F48" s="34">
        <f>IFERROR(SUM($E$4:E48),"")</f>
        <v>311500</v>
      </c>
      <c r="G48" s="31"/>
      <c r="H48" s="31"/>
    </row>
    <row r="49" spans="1:8" x14ac:dyDescent="0.25">
      <c r="A49" s="25"/>
      <c r="B49" s="26"/>
      <c r="C49" s="25"/>
      <c r="D49" s="25"/>
      <c r="E49" s="35"/>
      <c r="F49" s="36">
        <f>IFERROR(SUM($E$4:E49),"")</f>
        <v>311500</v>
      </c>
      <c r="G49" s="25"/>
      <c r="H49" s="25"/>
    </row>
    <row r="50" spans="1:8" x14ac:dyDescent="0.25">
      <c r="A50" s="31"/>
      <c r="B50" s="32"/>
      <c r="C50" s="31"/>
      <c r="D50" s="31"/>
      <c r="E50" s="33"/>
      <c r="F50" s="34">
        <f>IFERROR(SUM($E$4:E50),"")</f>
        <v>311500</v>
      </c>
      <c r="G50" s="31"/>
      <c r="H50" s="31"/>
    </row>
    <row r="51" spans="1:8" x14ac:dyDescent="0.25">
      <c r="A51" s="25"/>
      <c r="B51" s="26"/>
      <c r="C51" s="25"/>
      <c r="D51" s="25"/>
      <c r="E51" s="35"/>
      <c r="F51" s="36">
        <f>IFERROR(SUM($E$4:E51),"")</f>
        <v>311500</v>
      </c>
      <c r="G51" s="25"/>
      <c r="H51" s="25"/>
    </row>
    <row r="52" spans="1:8" x14ac:dyDescent="0.25">
      <c r="A52" s="31"/>
      <c r="B52" s="32"/>
      <c r="C52" s="31"/>
      <c r="D52" s="31"/>
      <c r="E52" s="33"/>
      <c r="F52" s="34">
        <f>IFERROR(SUM($E$4:E52),"")</f>
        <v>311500</v>
      </c>
      <c r="G52" s="31"/>
      <c r="H52" s="31"/>
    </row>
    <row r="53" spans="1:8" x14ac:dyDescent="0.25">
      <c r="A53" s="25"/>
      <c r="B53" s="26"/>
      <c r="C53" s="25"/>
      <c r="D53" s="25"/>
      <c r="E53" s="35"/>
      <c r="F53" s="36">
        <f>IFERROR(SUM($E$4:E53),"")</f>
        <v>311500</v>
      </c>
      <c r="G53" s="25"/>
      <c r="H53" s="25"/>
    </row>
    <row r="54" spans="1:8" x14ac:dyDescent="0.25">
      <c r="A54" s="28" t="s">
        <v>27</v>
      </c>
      <c r="B54" s="29"/>
      <c r="C54" s="29"/>
      <c r="D54" s="29"/>
      <c r="E54" s="30">
        <f>SUM(E4:E53)</f>
        <v>311500</v>
      </c>
      <c r="F54" s="29"/>
      <c r="G54" s="29"/>
      <c r="H54" s="29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28" customWidth="1"/>
    <col min="2" max="2" width="14" customWidth="1"/>
    <col min="3" max="3" width="12" customWidth="1"/>
    <col min="4" max="4" width="60" customWidth="1"/>
  </cols>
  <sheetData>
    <row r="1" spans="1:4" ht="17.45" customHeight="1" x14ac:dyDescent="0.25">
      <c r="A1" s="47" t="s">
        <v>51</v>
      </c>
      <c r="B1" s="45"/>
      <c r="C1" s="45"/>
      <c r="D1" s="45"/>
    </row>
    <row r="3" spans="1:4" x14ac:dyDescent="0.25">
      <c r="A3" s="37" t="s">
        <v>52</v>
      </c>
      <c r="B3" s="37" t="s">
        <v>53</v>
      </c>
      <c r="C3" s="37" t="s">
        <v>54</v>
      </c>
      <c r="D3" s="37" t="s">
        <v>55</v>
      </c>
    </row>
    <row r="4" spans="1:4" ht="39.75" customHeight="1" x14ac:dyDescent="0.25">
      <c r="A4" s="38" t="s">
        <v>56</v>
      </c>
      <c r="B4" s="39" t="s">
        <v>57</v>
      </c>
      <c r="C4" s="39" t="s">
        <v>58</v>
      </c>
      <c r="D4" s="40" t="s">
        <v>59</v>
      </c>
    </row>
    <row r="5" spans="1:4" ht="39.75" customHeight="1" x14ac:dyDescent="0.25">
      <c r="A5" s="41" t="s">
        <v>60</v>
      </c>
      <c r="B5" s="42" t="s">
        <v>57</v>
      </c>
      <c r="C5" s="42" t="s">
        <v>61</v>
      </c>
      <c r="D5" s="43" t="s">
        <v>62</v>
      </c>
    </row>
    <row r="6" spans="1:4" ht="39.75" customHeight="1" x14ac:dyDescent="0.25">
      <c r="A6" s="38" t="s">
        <v>63</v>
      </c>
      <c r="B6" s="39" t="s">
        <v>64</v>
      </c>
      <c r="C6" s="39" t="s">
        <v>65</v>
      </c>
      <c r="D6" s="40" t="s">
        <v>66</v>
      </c>
    </row>
    <row r="7" spans="1:4" ht="39.75" customHeight="1" x14ac:dyDescent="0.25">
      <c r="A7" s="41" t="s">
        <v>67</v>
      </c>
      <c r="B7" s="42" t="s">
        <v>68</v>
      </c>
      <c r="C7" s="42" t="s">
        <v>69</v>
      </c>
      <c r="D7" s="43" t="s">
        <v>70</v>
      </c>
    </row>
    <row r="8" spans="1:4" ht="39.75" customHeight="1" x14ac:dyDescent="0.25">
      <c r="A8" s="38" t="s">
        <v>71</v>
      </c>
      <c r="B8" s="39" t="s">
        <v>72</v>
      </c>
      <c r="C8" s="39" t="s">
        <v>73</v>
      </c>
      <c r="D8" s="40" t="s">
        <v>74</v>
      </c>
    </row>
    <row r="9" spans="1:4" ht="39.75" customHeight="1" x14ac:dyDescent="0.25">
      <c r="A9" s="41" t="s">
        <v>75</v>
      </c>
      <c r="B9" s="42" t="s">
        <v>64</v>
      </c>
      <c r="C9" s="42" t="s">
        <v>76</v>
      </c>
      <c r="D9" s="43" t="s">
        <v>77</v>
      </c>
    </row>
    <row r="10" spans="1:4" ht="39.75" customHeight="1" x14ac:dyDescent="0.25">
      <c r="A10" s="38" t="s">
        <v>78</v>
      </c>
      <c r="B10" s="39" t="s">
        <v>64</v>
      </c>
      <c r="C10" s="39" t="s">
        <v>73</v>
      </c>
      <c r="D10" s="40" t="s">
        <v>79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Payments</vt:lpstr>
      <vt:lpstr>Spendings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krati jain</cp:lastModifiedBy>
  <cp:revision>0</cp:revision>
  <dcterms:created xsi:type="dcterms:W3CDTF">2026-04-28T13:50:48Z</dcterms:created>
  <dcterms:modified xsi:type="dcterms:W3CDTF">2026-05-06T13:00:04Z</dcterms:modified>
  <dc:language>en-US</dc:language>
</cp:coreProperties>
</file>